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10e3c2f0ddf243/Universitatea Politehnica Timișoara/DPPD/Nivelul 2/05. Didactica domeniului și dezvoltării în didactica specializării/"/>
    </mc:Choice>
  </mc:AlternateContent>
  <xr:revisionPtr revIDLastSave="0" documentId="8_{30F0196A-F45D-4C3E-A157-F8820B0C4873}" xr6:coauthVersionLast="47" xr6:coauthVersionMax="47" xr10:uidLastSave="{00000000-0000-0000-0000-000000000000}"/>
  <bookViews>
    <workbookView xWindow="-120" yWindow="-120" windowWidth="29040" windowHeight="15720" xr2:uid="{A0C07653-A151-428E-AB70-B5F3A16622F8}"/>
  </bookViews>
  <sheets>
    <sheet name="Ore fișă disciplină" sheetId="1" r:id="rId1"/>
    <sheet name="Calculator nr. cred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D5" i="1"/>
  <c r="B19" i="1"/>
  <c r="B7" i="2"/>
  <c r="B19" i="2"/>
  <c r="B22" i="2"/>
  <c r="B11" i="2"/>
  <c r="B15" i="2" s="1"/>
  <c r="B6" i="1"/>
  <c r="F7" i="1"/>
  <c r="D7" i="1"/>
  <c r="F5" i="1"/>
  <c r="B4" i="1"/>
  <c r="B8" i="1" l="1"/>
  <c r="B14" i="1" s="1"/>
  <c r="B10" i="2"/>
  <c r="B8" i="2" s="1"/>
  <c r="B6" i="2" s="1"/>
  <c r="B7" i="1"/>
  <c r="B5" i="1"/>
</calcChain>
</file>

<file path=xl/sharedStrings.xml><?xml version="1.0" encoding="utf-8"?>
<sst xmlns="http://schemas.openxmlformats.org/spreadsheetml/2006/main" count="67" uniqueCount="63">
  <si>
    <t>ore documentare suplimentară în bibliotecă, pe</t>
  </si>
  <si>
    <t>platformele electronice de specialitate și pe teren</t>
  </si>
  <si>
    <t>ore studiu individual după manual, suport de curs,</t>
  </si>
  <si>
    <t>bibliografie și notițe</t>
  </si>
  <si>
    <t>ore pregătire seminarii/laboratoare, elaborare teme de</t>
  </si>
  <si>
    <t>casă și referate, portofolii și eseuri</t>
  </si>
  <si>
    <t>ore documentare suplimentară în bibliotecă, pe platformele electronice de specialitate și pe teren</t>
  </si>
  <si>
    <t>ore studiu individual după manual, suport de curs, bibliografie și notițe</t>
  </si>
  <si>
    <t xml:space="preserve">3.8 Total ore /săptămână </t>
  </si>
  <si>
    <t>3.8* Total ore/semestru</t>
  </si>
  <si>
    <r>
      <t>3.1</t>
    </r>
    <r>
      <rPr>
        <sz val="14"/>
        <color theme="1"/>
        <rFont val="Calibri"/>
        <family val="2"/>
        <scheme val="minor"/>
      </rPr>
      <t xml:space="preserve"> Număr de ore asistate integral/săptămână</t>
    </r>
  </si>
  <si>
    <r>
      <rPr>
        <b/>
        <sz val="14"/>
        <color theme="1"/>
        <rFont val="Calibri"/>
        <family val="2"/>
        <scheme val="minor"/>
      </rPr>
      <t>3.2</t>
    </r>
    <r>
      <rPr>
        <sz val="14"/>
        <color theme="1"/>
        <rFont val="Calibri"/>
        <family val="2"/>
        <scheme val="minor"/>
      </rPr>
      <t xml:space="preserve"> ore curs</t>
    </r>
  </si>
  <si>
    <r>
      <rPr>
        <b/>
        <sz val="14"/>
        <color theme="1"/>
        <rFont val="Calibri"/>
        <family val="2"/>
        <scheme val="minor"/>
      </rPr>
      <t>3.3</t>
    </r>
    <r>
      <rPr>
        <sz val="14"/>
        <color theme="1"/>
        <rFont val="Calibri"/>
        <family val="2"/>
        <scheme val="minor"/>
      </rPr>
      <t xml:space="preserve"> ore seminar /laborator /proiect</t>
    </r>
  </si>
  <si>
    <r>
      <t>3.1*</t>
    </r>
    <r>
      <rPr>
        <sz val="14"/>
        <color theme="1"/>
        <rFont val="Calibri"/>
        <family val="2"/>
        <scheme val="minor"/>
      </rPr>
      <t xml:space="preserve"> Număr total de ore asistate integral/semestru</t>
    </r>
  </si>
  <si>
    <r>
      <rPr>
        <b/>
        <sz val="14"/>
        <color theme="1"/>
        <rFont val="Calibri"/>
        <family val="2"/>
        <scheme val="minor"/>
      </rPr>
      <t>3.2*</t>
    </r>
    <r>
      <rPr>
        <sz val="14"/>
        <color theme="1"/>
        <rFont val="Calibri"/>
        <family val="2"/>
        <scheme val="minor"/>
      </rPr>
      <t xml:space="preserve"> ore curs</t>
    </r>
  </si>
  <si>
    <r>
      <rPr>
        <b/>
        <sz val="14"/>
        <color theme="1"/>
        <rFont val="Calibri"/>
        <family val="2"/>
        <scheme val="minor"/>
      </rPr>
      <t>3.3*</t>
    </r>
    <r>
      <rPr>
        <sz val="14"/>
        <color theme="1"/>
        <rFont val="Calibri"/>
        <family val="2"/>
        <scheme val="minor"/>
      </rPr>
      <t xml:space="preserve"> ore seminar/laborator/proiect</t>
    </r>
  </si>
  <si>
    <r>
      <t>3.4</t>
    </r>
    <r>
      <rPr>
        <sz val="14"/>
        <color theme="1"/>
        <rFont val="Calibri"/>
        <family val="2"/>
        <scheme val="minor"/>
      </rPr>
      <t xml:space="preserve"> Număr de ore asistate parţial/săptămână</t>
    </r>
  </si>
  <si>
    <r>
      <rPr>
        <b/>
        <sz val="14"/>
        <color theme="1"/>
        <rFont val="Calibri"/>
        <family val="2"/>
        <scheme val="minor"/>
      </rPr>
      <t>3.5</t>
    </r>
    <r>
      <rPr>
        <sz val="14"/>
        <color theme="1"/>
        <rFont val="Calibri"/>
        <family val="2"/>
        <scheme val="minor"/>
      </rPr>
      <t xml:space="preserve"> ore practică</t>
    </r>
  </si>
  <si>
    <r>
      <rPr>
        <b/>
        <sz val="14"/>
        <color theme="1"/>
        <rFont val="Calibri"/>
        <family val="2"/>
        <scheme val="minor"/>
      </rPr>
      <t>3.6</t>
    </r>
    <r>
      <rPr>
        <sz val="14"/>
        <color theme="1"/>
        <rFont val="Calibri"/>
        <family val="2"/>
        <scheme val="minor"/>
      </rPr>
      <t xml:space="preserve"> ore elaborare proiect de diplomă</t>
    </r>
  </si>
  <si>
    <r>
      <rPr>
        <b/>
        <sz val="14"/>
        <color theme="1"/>
        <rFont val="Calibri"/>
        <family val="2"/>
        <scheme val="minor"/>
      </rPr>
      <t>3.5*</t>
    </r>
    <r>
      <rPr>
        <sz val="14"/>
        <color theme="1"/>
        <rFont val="Calibri"/>
        <family val="2"/>
        <scheme val="minor"/>
      </rPr>
      <t xml:space="preserve"> ore practică</t>
    </r>
  </si>
  <si>
    <r>
      <rPr>
        <b/>
        <sz val="14"/>
        <color theme="1"/>
        <rFont val="Calibri"/>
        <family val="2"/>
        <scheme val="minor"/>
      </rPr>
      <t>3.6*</t>
    </r>
    <r>
      <rPr>
        <sz val="14"/>
        <color theme="1"/>
        <rFont val="Calibri"/>
        <family val="2"/>
        <scheme val="minor"/>
      </rPr>
      <t xml:space="preserve"> ore elaborare proiect de diplomă</t>
    </r>
  </si>
  <si>
    <r>
      <t>3.7</t>
    </r>
    <r>
      <rPr>
        <sz val="14"/>
        <color theme="1"/>
        <rFont val="Calibri"/>
        <family val="2"/>
        <scheme val="minor"/>
      </rPr>
      <t xml:space="preserve"> Număr de ore activităţi neasistate/săptămână</t>
    </r>
  </si>
  <si>
    <r>
      <t>3.7*</t>
    </r>
    <r>
      <rPr>
        <sz val="14"/>
        <color theme="1"/>
        <rFont val="Calibri"/>
        <family val="2"/>
        <scheme val="minor"/>
      </rPr>
      <t xml:space="preserve"> Număr total de ore activităţi neasistate/semestru</t>
    </r>
  </si>
  <si>
    <r>
      <t>3.4*</t>
    </r>
    <r>
      <rPr>
        <sz val="14"/>
        <color theme="1"/>
        <rFont val="Calibri"/>
        <family val="2"/>
        <scheme val="minor"/>
      </rPr>
      <t xml:space="preserve"> Număr total de ore asistate parţial/semestru</t>
    </r>
  </si>
  <si>
    <t>(1 credit are 25 de ore)</t>
  </si>
  <si>
    <t>Se completează doar câmpurile cu roșu, restul se calculează automat!!!</t>
  </si>
  <si>
    <t>Valoarea unității de credit:</t>
  </si>
  <si>
    <t>Timp mediu săptămânal (Tms):</t>
  </si>
  <si>
    <t>Timp total de muncă (Tt):</t>
  </si>
  <si>
    <t>Număr de săptămâni pe semestru (Ns):</t>
  </si>
  <si>
    <t>Indicator</t>
  </si>
  <si>
    <t>Valoare</t>
  </si>
  <si>
    <t>Explicații</t>
  </si>
  <si>
    <t>Numărul de credite = Tt / valoarea unității de credit</t>
  </si>
  <si>
    <t>Tt = Tms * Ns</t>
  </si>
  <si>
    <t>Tms = Tactcolectivă + Tactindividuală</t>
  </si>
  <si>
    <t>Timp activitate colectivă (Tactcolectivă):</t>
  </si>
  <si>
    <t>Tactcolectivă = Tcurs + Tseminar + Tpractică</t>
  </si>
  <si>
    <t>Timp curs (Tcurs):</t>
  </si>
  <si>
    <t>Timp seminar (Tseminar):</t>
  </si>
  <si>
    <t>Timp practică (Tpractică):</t>
  </si>
  <si>
    <t>Timp activitate individuală (Tactindividuală):</t>
  </si>
  <si>
    <t>Tactindividuală = c * Tactcolectivă</t>
  </si>
  <si>
    <t>Coeficient de corecție (c):</t>
  </si>
  <si>
    <t>Vezi cum se calculează mai jos!</t>
  </si>
  <si>
    <t>Număr credite pentru materie:</t>
  </si>
  <si>
    <t>14 săptămâni de predare și 4 săptămâni de examinare</t>
  </si>
  <si>
    <t>Specificat în carta UPT, hotărâre de senat 2019-2020</t>
  </si>
  <si>
    <t>Timp de activitate instituționalizată Ta (ore):</t>
  </si>
  <si>
    <t>Săptămâni pe semestru S (inclusiv sesiunea):</t>
  </si>
  <si>
    <t>Os = Ta * S</t>
  </si>
  <si>
    <t>Un an are 60 de credite, deci un semestru are 30 de credite</t>
  </si>
  <si>
    <t>Unități de credit = Os / Cs</t>
  </si>
  <si>
    <t>Număr de ore pe semestru (Os):</t>
  </si>
  <si>
    <t>Număr de credite pe semestru (Cs):</t>
  </si>
  <si>
    <t>Număr de ore pe săptămână pentru fiecare tip de activitate</t>
  </si>
  <si>
    <t>Ingineri: 0,61 | Architecți: 0,44 - 0,5 - 0,55 | Vezi explicația în roșu de mai jos</t>
  </si>
  <si>
    <t>CALCULARE ORE PENTRU FIȘA DISCIPLINEI</t>
  </si>
  <si>
    <t>CALCULATOR NUMĂR DE CREDITE PENTRU MATERIE</t>
  </si>
  <si>
    <t>Distribuie după dorință orele de la punctul 3.7.</t>
  </si>
  <si>
    <t>Distribuie după dorință orele de la punctul 3.7*.</t>
  </si>
  <si>
    <r>
      <t xml:space="preserve">3.9 </t>
    </r>
    <r>
      <rPr>
        <sz val="14"/>
        <color theme="1"/>
        <rFont val="Calibri"/>
        <family val="2"/>
        <scheme val="minor"/>
      </rPr>
      <t>Numărul de credite al materiei</t>
    </r>
  </si>
  <si>
    <t xml:space="preserve"> (vezi algorimul de calcul al nr. de credite pe sheet-ul următor)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</si>
</sst>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sz val="12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  <font>
      <u/>
      <sz val="14"/>
      <color theme="10"/>
      <name val="Calibri"/>
      <family val="2"/>
      <charset val="238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0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/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3" borderId="0" xfId="0" applyFont="1" applyFill="1"/>
    <xf numFmtId="0" fontId="2" fillId="0" borderId="0" xfId="0" applyFont="1"/>
    <xf numFmtId="0" fontId="11" fillId="0" borderId="0" xfId="0" applyFont="1"/>
    <xf numFmtId="0" fontId="7" fillId="4" borderId="0" xfId="0" applyFont="1" applyFill="1"/>
    <xf numFmtId="0" fontId="10" fillId="0" borderId="0" xfId="0" applyFont="1"/>
    <xf numFmtId="0" fontId="6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9" fillId="2" borderId="9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12" fillId="0" borderId="0" xfId="1" applyFont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left" vertical="center" wrapText="1"/>
    </xf>
    <xf numFmtId="0" fontId="13" fillId="5" borderId="17" xfId="0" applyFont="1" applyFill="1" applyBorder="1" applyAlignment="1">
      <alignment horizontal="left" vertical="center" wrapText="1"/>
    </xf>
    <xf numFmtId="0" fontId="13" fillId="5" borderId="18" xfId="0" applyFont="1" applyFill="1" applyBorder="1" applyAlignment="1">
      <alignment horizontal="left" vertical="center" wrapText="1"/>
    </xf>
    <xf numFmtId="0" fontId="13" fillId="5" borderId="19" xfId="0" applyFont="1" applyFill="1" applyBorder="1" applyAlignment="1">
      <alignment horizontal="left" vertical="center" wrapText="1"/>
    </xf>
    <xf numFmtId="0" fontId="13" fillId="5" borderId="20" xfId="0" applyFont="1" applyFill="1" applyBorder="1" applyAlignment="1">
      <alignment horizontal="left" vertical="center" wrapText="1"/>
    </xf>
    <xf numFmtId="0" fontId="13" fillId="5" borderId="21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2" fontId="6" fillId="2" borderId="8" xfId="0" applyNumberFormat="1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167640</xdr:rowOff>
    </xdr:from>
    <xdr:to>
      <xdr:col>3</xdr:col>
      <xdr:colOff>128824</xdr:colOff>
      <xdr:row>44</xdr:row>
      <xdr:rowOff>134044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7158F-174C-8F34-5FB1-9AF72DCF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54040"/>
          <a:ext cx="10354864" cy="4538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8B34-987B-4069-842D-1DFCC3C9B256}">
  <dimension ref="A1:H27"/>
  <sheetViews>
    <sheetView tabSelected="1" workbookViewId="0">
      <selection activeCell="D6" sqref="D6"/>
    </sheetView>
  </sheetViews>
  <sheetFormatPr defaultColWidth="8.85546875" defaultRowHeight="18.75" x14ac:dyDescent="0.3"/>
  <cols>
    <col min="1" max="1" width="58.28515625" style="3" bestFit="1" customWidth="1"/>
    <col min="2" max="2" width="10" style="3" customWidth="1"/>
    <col min="3" max="3" width="18.7109375" style="3" bestFit="1" customWidth="1"/>
    <col min="4" max="4" width="10" style="3" bestFit="1" customWidth="1"/>
    <col min="5" max="5" width="40.7109375" style="3" bestFit="1" customWidth="1"/>
    <col min="6" max="6" width="12" style="3" bestFit="1" customWidth="1"/>
    <col min="7" max="16384" width="8.85546875" style="3"/>
  </cols>
  <sheetData>
    <row r="1" spans="1:8" x14ac:dyDescent="0.3">
      <c r="A1" s="13" t="s">
        <v>57</v>
      </c>
    </row>
    <row r="2" spans="1:8" x14ac:dyDescent="0.3">
      <c r="A2" s="9" t="s">
        <v>25</v>
      </c>
    </row>
    <row r="3" spans="1:8" ht="19.5" thickBot="1" x14ac:dyDescent="0.35"/>
    <row r="4" spans="1:8" ht="19.5" thickBot="1" x14ac:dyDescent="0.35">
      <c r="A4" s="1" t="s">
        <v>10</v>
      </c>
      <c r="B4" s="7">
        <f>D4+F4</f>
        <v>4</v>
      </c>
      <c r="C4" s="2" t="s">
        <v>11</v>
      </c>
      <c r="D4" s="11">
        <v>2</v>
      </c>
      <c r="E4" s="2" t="s">
        <v>12</v>
      </c>
      <c r="F4" s="11">
        <v>2</v>
      </c>
    </row>
    <row r="5" spans="1:8" ht="38.25" thickBot="1" x14ac:dyDescent="0.35">
      <c r="A5" s="4" t="s">
        <v>13</v>
      </c>
      <c r="B5" s="8">
        <f>D5+F5</f>
        <v>56</v>
      </c>
      <c r="C5" s="5" t="s">
        <v>14</v>
      </c>
      <c r="D5" s="6">
        <f>D4*14</f>
        <v>28</v>
      </c>
      <c r="E5" s="5" t="s">
        <v>15</v>
      </c>
      <c r="F5" s="6">
        <f>F4*14</f>
        <v>28</v>
      </c>
    </row>
    <row r="6" spans="1:8" ht="38.25" thickBot="1" x14ac:dyDescent="0.35">
      <c r="A6" s="4" t="s">
        <v>16</v>
      </c>
      <c r="B6" s="6">
        <f>D6+F6</f>
        <v>0</v>
      </c>
      <c r="C6" s="5" t="s">
        <v>17</v>
      </c>
      <c r="D6" s="11">
        <v>0</v>
      </c>
      <c r="E6" s="5" t="s">
        <v>18</v>
      </c>
      <c r="F6" s="11">
        <v>0</v>
      </c>
    </row>
    <row r="7" spans="1:8" ht="38.25" thickBot="1" x14ac:dyDescent="0.35">
      <c r="A7" s="4" t="s">
        <v>23</v>
      </c>
      <c r="B7" s="6">
        <f>D7+F7</f>
        <v>0</v>
      </c>
      <c r="C7" s="5" t="s">
        <v>19</v>
      </c>
      <c r="D7" s="6">
        <f>D6*14</f>
        <v>0</v>
      </c>
      <c r="E7" s="5" t="s">
        <v>20</v>
      </c>
      <c r="F7" s="6">
        <f>F6*14</f>
        <v>0</v>
      </c>
    </row>
    <row r="8" spans="1:8" ht="18" customHeight="1" x14ac:dyDescent="0.3">
      <c r="A8" s="40" t="s">
        <v>21</v>
      </c>
      <c r="B8" s="55">
        <f>B18-B4</f>
        <v>8.5</v>
      </c>
      <c r="C8" s="49" t="s">
        <v>0</v>
      </c>
      <c r="D8" s="50"/>
      <c r="E8" s="51"/>
      <c r="F8" s="59">
        <v>2.8</v>
      </c>
      <c r="G8" s="21" t="s">
        <v>59</v>
      </c>
      <c r="H8" s="22"/>
    </row>
    <row r="9" spans="1:8" ht="19.5" thickBot="1" x14ac:dyDescent="0.35">
      <c r="A9" s="41"/>
      <c r="B9" s="56"/>
      <c r="C9" s="52" t="s">
        <v>1</v>
      </c>
      <c r="D9" s="53"/>
      <c r="E9" s="54"/>
      <c r="F9" s="60"/>
      <c r="G9" s="23"/>
      <c r="H9" s="24"/>
    </row>
    <row r="10" spans="1:8" x14ac:dyDescent="0.3">
      <c r="A10" s="41"/>
      <c r="B10" s="56"/>
      <c r="C10" s="49" t="s">
        <v>2</v>
      </c>
      <c r="D10" s="50"/>
      <c r="E10" s="51"/>
      <c r="F10" s="59">
        <v>2.8</v>
      </c>
      <c r="G10" s="23"/>
      <c r="H10" s="24"/>
    </row>
    <row r="11" spans="1:8" ht="19.5" thickBot="1" x14ac:dyDescent="0.35">
      <c r="A11" s="41"/>
      <c r="B11" s="56"/>
      <c r="C11" s="52" t="s">
        <v>3</v>
      </c>
      <c r="D11" s="53"/>
      <c r="E11" s="54"/>
      <c r="F11" s="60"/>
      <c r="G11" s="23"/>
      <c r="H11" s="24"/>
    </row>
    <row r="12" spans="1:8" x14ac:dyDescent="0.3">
      <c r="A12" s="41"/>
      <c r="B12" s="56"/>
      <c r="C12" s="49" t="s">
        <v>4</v>
      </c>
      <c r="D12" s="50"/>
      <c r="E12" s="51"/>
      <c r="F12" s="59">
        <v>2.9</v>
      </c>
      <c r="G12" s="23"/>
      <c r="H12" s="24"/>
    </row>
    <row r="13" spans="1:8" ht="19.5" thickBot="1" x14ac:dyDescent="0.35">
      <c r="A13" s="42"/>
      <c r="B13" s="57"/>
      <c r="C13" s="52" t="s">
        <v>5</v>
      </c>
      <c r="D13" s="53"/>
      <c r="E13" s="54"/>
      <c r="F13" s="60"/>
      <c r="G13" s="23"/>
      <c r="H13" s="24"/>
    </row>
    <row r="14" spans="1:8" ht="19.5" thickBot="1" x14ac:dyDescent="0.35">
      <c r="A14" s="40" t="s">
        <v>22</v>
      </c>
      <c r="B14" s="43">
        <f>B8*14</f>
        <v>119</v>
      </c>
      <c r="C14" s="46" t="s">
        <v>6</v>
      </c>
      <c r="D14" s="47"/>
      <c r="E14" s="48"/>
      <c r="F14" s="17">
        <v>40</v>
      </c>
      <c r="G14" s="31" t="s">
        <v>60</v>
      </c>
      <c r="H14" s="32"/>
    </row>
    <row r="15" spans="1:8" ht="19.5" thickBot="1" x14ac:dyDescent="0.35">
      <c r="A15" s="41"/>
      <c r="B15" s="44"/>
      <c r="C15" s="46" t="s">
        <v>7</v>
      </c>
      <c r="D15" s="47"/>
      <c r="E15" s="48"/>
      <c r="F15" s="17">
        <v>40</v>
      </c>
      <c r="G15" s="33"/>
      <c r="H15" s="34"/>
    </row>
    <row r="16" spans="1:8" x14ac:dyDescent="0.3">
      <c r="A16" s="41"/>
      <c r="B16" s="44"/>
      <c r="C16" s="49" t="s">
        <v>4</v>
      </c>
      <c r="D16" s="50"/>
      <c r="E16" s="51"/>
      <c r="F16" s="29">
        <v>39</v>
      </c>
      <c r="G16" s="33"/>
      <c r="H16" s="34"/>
    </row>
    <row r="17" spans="1:8" ht="19.5" thickBot="1" x14ac:dyDescent="0.35">
      <c r="A17" s="42"/>
      <c r="B17" s="45"/>
      <c r="C17" s="52" t="s">
        <v>5</v>
      </c>
      <c r="D17" s="53"/>
      <c r="E17" s="54"/>
      <c r="F17" s="30"/>
      <c r="G17" s="35"/>
      <c r="H17" s="36"/>
    </row>
    <row r="18" spans="1:8" ht="19.5" thickBot="1" x14ac:dyDescent="0.35">
      <c r="A18" s="4" t="s">
        <v>8</v>
      </c>
      <c r="B18" s="26">
        <f>ROUNDUP(B19/14,1)</f>
        <v>12.5</v>
      </c>
      <c r="C18" s="27"/>
      <c r="D18" s="27"/>
      <c r="E18" s="27"/>
      <c r="F18" s="28"/>
    </row>
    <row r="19" spans="1:8" ht="19.5" thickBot="1" x14ac:dyDescent="0.35">
      <c r="A19" s="4" t="s">
        <v>9</v>
      </c>
      <c r="B19" s="26">
        <f>B20*25</f>
        <v>175</v>
      </c>
      <c r="C19" s="27"/>
      <c r="D19" s="27" t="s">
        <v>24</v>
      </c>
      <c r="E19" s="27"/>
      <c r="F19" s="28"/>
    </row>
    <row r="20" spans="1:8" ht="18.600000000000001" customHeight="1" thickBot="1" x14ac:dyDescent="0.35">
      <c r="A20" s="4" t="s">
        <v>61</v>
      </c>
      <c r="B20" s="11">
        <v>7</v>
      </c>
      <c r="C20" s="37" t="s">
        <v>62</v>
      </c>
      <c r="D20" s="38"/>
      <c r="E20" s="38"/>
      <c r="F20" s="39"/>
    </row>
    <row r="21" spans="1:8" x14ac:dyDescent="0.3">
      <c r="B21" s="18"/>
      <c r="C21" s="18"/>
    </row>
    <row r="22" spans="1:8" x14ac:dyDescent="0.3">
      <c r="B22" s="19"/>
      <c r="C22" s="19"/>
    </row>
    <row r="23" spans="1:8" x14ac:dyDescent="0.3">
      <c r="B23" s="19"/>
      <c r="C23" s="19"/>
    </row>
    <row r="25" spans="1:8" x14ac:dyDescent="0.3">
      <c r="B25" s="20"/>
      <c r="C25" s="20"/>
    </row>
    <row r="26" spans="1:8" x14ac:dyDescent="0.3">
      <c r="B26" s="25"/>
      <c r="C26" s="25"/>
    </row>
    <row r="27" spans="1:8" x14ac:dyDescent="0.3">
      <c r="B27" s="20"/>
      <c r="C27" s="20"/>
    </row>
  </sheetData>
  <mergeCells count="27">
    <mergeCell ref="A8:A13"/>
    <mergeCell ref="B8:B13"/>
    <mergeCell ref="C8:E8"/>
    <mergeCell ref="C9:E9"/>
    <mergeCell ref="F8:F9"/>
    <mergeCell ref="C10:E10"/>
    <mergeCell ref="C11:E11"/>
    <mergeCell ref="F10:F11"/>
    <mergeCell ref="C12:E12"/>
    <mergeCell ref="C13:E13"/>
    <mergeCell ref="A14:A17"/>
    <mergeCell ref="B14:B17"/>
    <mergeCell ref="C14:E14"/>
    <mergeCell ref="C15:E15"/>
    <mergeCell ref="C16:E16"/>
    <mergeCell ref="C17:E17"/>
    <mergeCell ref="B27:C27"/>
    <mergeCell ref="G8:H13"/>
    <mergeCell ref="B25:C25"/>
    <mergeCell ref="B26:C26"/>
    <mergeCell ref="B18:F18"/>
    <mergeCell ref="D19:F19"/>
    <mergeCell ref="B19:C19"/>
    <mergeCell ref="F12:F13"/>
    <mergeCell ref="F16:F17"/>
    <mergeCell ref="G14:H17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092A-FC6A-4AAA-96A3-E1EAEBB01292}">
  <dimension ref="A1:C23"/>
  <sheetViews>
    <sheetView workbookViewId="0">
      <selection activeCell="B16" sqref="B16"/>
    </sheetView>
  </sheetViews>
  <sheetFormatPr defaultRowHeight="18.75" x14ac:dyDescent="0.3"/>
  <cols>
    <col min="1" max="1" width="82.28515625" style="3" bestFit="1" customWidth="1"/>
    <col min="2" max="2" width="11.85546875" style="3" customWidth="1"/>
    <col min="3" max="3" width="55" style="3" bestFit="1" customWidth="1"/>
  </cols>
  <sheetData>
    <row r="1" spans="1:3" x14ac:dyDescent="0.3">
      <c r="A1" s="13" t="s">
        <v>58</v>
      </c>
    </row>
    <row r="2" spans="1:3" s="3" customFormat="1" x14ac:dyDescent="0.3">
      <c r="A2" s="9" t="s">
        <v>25</v>
      </c>
    </row>
    <row r="3" spans="1:3" s="3" customFormat="1" x14ac:dyDescent="0.3">
      <c r="A3" s="10"/>
    </row>
    <row r="4" spans="1:3" x14ac:dyDescent="0.3">
      <c r="A4" s="13" t="s">
        <v>30</v>
      </c>
      <c r="B4" s="13" t="s">
        <v>31</v>
      </c>
      <c r="C4" s="13" t="s">
        <v>32</v>
      </c>
    </row>
    <row r="6" spans="1:3" x14ac:dyDescent="0.3">
      <c r="A6" s="15" t="s">
        <v>45</v>
      </c>
      <c r="B6" s="15">
        <f>ROUND(B8/B7,0)</f>
        <v>5</v>
      </c>
      <c r="C6" s="16" t="s">
        <v>33</v>
      </c>
    </row>
    <row r="7" spans="1:3" x14ac:dyDescent="0.3">
      <c r="A7" s="3" t="s">
        <v>26</v>
      </c>
      <c r="B7" s="3">
        <f>B19</f>
        <v>25.2</v>
      </c>
      <c r="C7" s="14" t="s">
        <v>44</v>
      </c>
    </row>
    <row r="8" spans="1:3" x14ac:dyDescent="0.3">
      <c r="A8" s="3" t="s">
        <v>28</v>
      </c>
      <c r="B8" s="3">
        <f>B10*B9</f>
        <v>115.91999999999999</v>
      </c>
      <c r="C8" s="16" t="s">
        <v>34</v>
      </c>
    </row>
    <row r="9" spans="1:3" x14ac:dyDescent="0.3">
      <c r="A9" s="3" t="s">
        <v>29</v>
      </c>
      <c r="B9" s="3">
        <v>18</v>
      </c>
      <c r="C9" s="16" t="s">
        <v>46</v>
      </c>
    </row>
    <row r="10" spans="1:3" x14ac:dyDescent="0.3">
      <c r="A10" s="3" t="s">
        <v>27</v>
      </c>
      <c r="B10" s="3">
        <f>B11+B15</f>
        <v>6.4399999999999995</v>
      </c>
      <c r="C10" s="16" t="s">
        <v>35</v>
      </c>
    </row>
    <row r="11" spans="1:3" x14ac:dyDescent="0.3">
      <c r="A11" s="3" t="s">
        <v>36</v>
      </c>
      <c r="B11" s="3">
        <f>B12+B13+B14</f>
        <v>4</v>
      </c>
      <c r="C11" s="16" t="s">
        <v>37</v>
      </c>
    </row>
    <row r="12" spans="1:3" x14ac:dyDescent="0.3">
      <c r="A12" s="3" t="s">
        <v>38</v>
      </c>
      <c r="B12" s="12">
        <v>2</v>
      </c>
      <c r="C12" s="58" t="s">
        <v>55</v>
      </c>
    </row>
    <row r="13" spans="1:3" x14ac:dyDescent="0.3">
      <c r="A13" s="3" t="s">
        <v>39</v>
      </c>
      <c r="B13" s="12">
        <v>2</v>
      </c>
      <c r="C13" s="58"/>
    </row>
    <row r="14" spans="1:3" x14ac:dyDescent="0.3">
      <c r="A14" s="3" t="s">
        <v>40</v>
      </c>
      <c r="B14" s="12">
        <v>0</v>
      </c>
      <c r="C14" s="58"/>
    </row>
    <row r="15" spans="1:3" x14ac:dyDescent="0.3">
      <c r="A15" s="3" t="s">
        <v>41</v>
      </c>
      <c r="B15" s="3">
        <f>B16*B11</f>
        <v>2.44</v>
      </c>
      <c r="C15" s="16" t="s">
        <v>42</v>
      </c>
    </row>
    <row r="16" spans="1:3" x14ac:dyDescent="0.3">
      <c r="A16" s="3" t="s">
        <v>43</v>
      </c>
      <c r="B16" s="12">
        <v>0.61</v>
      </c>
      <c r="C16" s="14" t="s">
        <v>56</v>
      </c>
    </row>
    <row r="19" spans="1:3" x14ac:dyDescent="0.3">
      <c r="A19" s="15" t="s">
        <v>26</v>
      </c>
      <c r="B19" s="15">
        <f>B22/B23</f>
        <v>25.2</v>
      </c>
      <c r="C19" s="3" t="s">
        <v>52</v>
      </c>
    </row>
    <row r="20" spans="1:3" x14ac:dyDescent="0.3">
      <c r="A20" s="3" t="s">
        <v>48</v>
      </c>
      <c r="B20" s="3">
        <v>42</v>
      </c>
      <c r="C20" s="16" t="s">
        <v>47</v>
      </c>
    </row>
    <row r="21" spans="1:3" x14ac:dyDescent="0.3">
      <c r="A21" s="3" t="s">
        <v>49</v>
      </c>
      <c r="B21" s="3">
        <v>18</v>
      </c>
    </row>
    <row r="22" spans="1:3" x14ac:dyDescent="0.3">
      <c r="A22" s="3" t="s">
        <v>53</v>
      </c>
      <c r="B22" s="3">
        <f xml:space="preserve"> B20*B21</f>
        <v>756</v>
      </c>
      <c r="C22" s="16" t="s">
        <v>50</v>
      </c>
    </row>
    <row r="23" spans="1:3" x14ac:dyDescent="0.3">
      <c r="A23" s="3" t="s">
        <v>54</v>
      </c>
      <c r="B23" s="3">
        <v>30</v>
      </c>
      <c r="C23" s="16" t="s">
        <v>51</v>
      </c>
    </row>
  </sheetData>
  <mergeCells count="1">
    <mergeCell ref="C12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Ore fișă disciplină</vt:lpstr>
      <vt:lpstr>Calculator nr. credite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 BOCAN</dc:creator>
  <cp:lastModifiedBy>Valer BOCAN</cp:lastModifiedBy>
  <dcterms:created xsi:type="dcterms:W3CDTF">2024-05-27T17:27:34Z</dcterms:created>
  <dcterms:modified xsi:type="dcterms:W3CDTF">2024-11-13T08:55:22Z</dcterms:modified>
</cp:coreProperties>
</file>